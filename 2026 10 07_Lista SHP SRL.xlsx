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.poles\Desktop\"/>
    </mc:Choice>
  </mc:AlternateContent>
  <xr:revisionPtr revIDLastSave="0" documentId="13_ncr:1_{49100805-9513-40EA-9E92-9C6246BBA1E0}" xr6:coauthVersionLast="47" xr6:coauthVersionMax="47" xr10:uidLastSave="{00000000-0000-0000-0000-000000000000}"/>
  <bookViews>
    <workbookView xWindow="28680" yWindow="-75" windowWidth="29040" windowHeight="15720" xr2:uid="{4C957BF1-1B72-4A83-964D-FF5980826C7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1" l="1"/>
  <c r="L6" i="1"/>
  <c r="L4" i="1"/>
  <c r="G7" i="1"/>
  <c r="H5" i="1"/>
  <c r="H4" i="1"/>
  <c r="H7" i="1" s="1"/>
  <c r="F7" i="1"/>
  <c r="E7" i="1"/>
  <c r="D7" i="1"/>
</calcChain>
</file>

<file path=xl/sharedStrings.xml><?xml version="1.0" encoding="utf-8"?>
<sst xmlns="http://schemas.openxmlformats.org/spreadsheetml/2006/main" count="19" uniqueCount="17">
  <si>
    <t># Mandato</t>
  </si>
  <si>
    <t>Cliente</t>
  </si>
  <si>
    <t>TOTALE</t>
  </si>
  <si>
    <t>Totale da versare</t>
  </si>
  <si>
    <t>Stato</t>
  </si>
  <si>
    <t>Capitale Sociale</t>
  </si>
  <si>
    <t>Versamento in c.to futuro aucap</t>
  </si>
  <si>
    <t>Finanziamento Soci</t>
  </si>
  <si>
    <t>Riserva Liquidità CC</t>
  </si>
  <si>
    <t>Mandato consegnato a Patrick</t>
  </si>
  <si>
    <t>Mandato pronto per invio x firma dig</t>
  </si>
  <si>
    <t>% capitale sociale</t>
  </si>
  <si>
    <t>mario rossi</t>
  </si>
  <si>
    <t>gianna srl</t>
  </si>
  <si>
    <t>bimbo srl</t>
  </si>
  <si>
    <t>Commissione Apertura</t>
  </si>
  <si>
    <t>commissione annuale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</si>
</sst>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4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D0AC-23C5-43D7-A4AB-AAC9822205FA}">
  <dimension ref="B3:M14"/>
  <sheetViews>
    <sheetView tabSelected="1" workbookViewId="0">
      <selection activeCell="K9" sqref="K9"/>
    </sheetView>
  </sheetViews>
  <sheetFormatPr defaultRowHeight="15" x14ac:dyDescent="0.25"/>
  <cols>
    <col min="1" max="1" width="4" customWidth="1"/>
    <col min="2" max="2" width="10.28515625" bestFit="1" customWidth="1"/>
    <col min="3" max="3" width="27.85546875" customWidth="1"/>
    <col min="4" max="4" width="19.28515625" customWidth="1"/>
    <col min="5" max="5" width="10.140625" bestFit="1" customWidth="1"/>
    <col min="6" max="6" width="22.85546875" customWidth="1"/>
    <col min="7" max="7" width="17.42578125" customWidth="1"/>
    <col min="8" max="8" width="15.28515625" customWidth="1"/>
    <col min="9" max="9" width="13.140625" customWidth="1"/>
    <col min="10" max="10" width="16.5703125" customWidth="1"/>
    <col min="11" max="11" width="17.5703125" customWidth="1"/>
    <col min="12" max="12" width="21.42578125" customWidth="1"/>
    <col min="13" max="13" width="33.42578125" bestFit="1" customWidth="1"/>
  </cols>
  <sheetData>
    <row r="3" spans="2:13" ht="30" x14ac:dyDescent="0.25">
      <c r="B3" s="11" t="s">
        <v>0</v>
      </c>
      <c r="C3" s="12" t="s">
        <v>1</v>
      </c>
      <c r="D3" s="12" t="s">
        <v>5</v>
      </c>
      <c r="E3" s="12" t="s">
        <v>11</v>
      </c>
      <c r="F3" s="12" t="s">
        <v>6</v>
      </c>
      <c r="G3" s="12" t="s">
        <v>7</v>
      </c>
      <c r="H3" s="12" t="s">
        <v>2</v>
      </c>
      <c r="I3" s="12" t="s">
        <v>8</v>
      </c>
      <c r="J3" s="12" t="s">
        <v>15</v>
      </c>
      <c r="K3" s="12" t="s">
        <v>16</v>
      </c>
      <c r="L3" s="13" t="s">
        <v>3</v>
      </c>
      <c r="M3" s="14" t="s">
        <v>4</v>
      </c>
    </row>
    <row r="4" spans="2:13" x14ac:dyDescent="0.25">
      <c r="B4" s="15"/>
      <c r="C4" s="2" t="s">
        <v>12</v>
      </c>
      <c r="D4" s="4">
        <v>5000</v>
      </c>
      <c r="E4" s="5">
        <v>0.5</v>
      </c>
      <c r="F4" s="3">
        <v>250000</v>
      </c>
      <c r="G4" s="3">
        <v>750000</v>
      </c>
      <c r="H4" s="3">
        <f>F4+G4</f>
        <v>1000000</v>
      </c>
      <c r="I4" s="3">
        <v>365</v>
      </c>
      <c r="J4" s="3">
        <v>1500</v>
      </c>
      <c r="K4" s="3">
        <v>1000</v>
      </c>
      <c r="L4" s="4" t="e">
        <f>D4+F4+G4+#REF!+I4+(J4+K4/12*3)*1.22</f>
        <v>#REF!</v>
      </c>
      <c r="M4" s="19" t="s">
        <v>10</v>
      </c>
    </row>
    <row r="5" spans="2:13" x14ac:dyDescent="0.25">
      <c r="B5" s="15"/>
      <c r="C5" s="2" t="s">
        <v>13</v>
      </c>
      <c r="D5" s="4">
        <v>3750</v>
      </c>
      <c r="E5" s="5">
        <v>0.375</v>
      </c>
      <c r="F5" s="3">
        <v>187500</v>
      </c>
      <c r="G5" s="3">
        <v>562500</v>
      </c>
      <c r="H5" s="3">
        <f>F5+G5</f>
        <v>750000</v>
      </c>
      <c r="I5" s="3">
        <v>615</v>
      </c>
      <c r="J5" s="3">
        <v>1500</v>
      </c>
      <c r="K5" s="3">
        <v>1000</v>
      </c>
      <c r="L5" s="4" t="e">
        <f>D5+F5+G5+#REF!+I5+(J5+K5/12*3)*1.22</f>
        <v>#REF!</v>
      </c>
      <c r="M5" s="19" t="s">
        <v>9</v>
      </c>
    </row>
    <row r="6" spans="2:13" ht="15.75" thickBot="1" x14ac:dyDescent="0.3">
      <c r="B6" s="16"/>
      <c r="C6" s="2" t="s">
        <v>14</v>
      </c>
      <c r="D6" s="4">
        <v>1250</v>
      </c>
      <c r="E6" s="5">
        <v>0.125</v>
      </c>
      <c r="F6" s="3">
        <v>62500</v>
      </c>
      <c r="G6" s="3">
        <v>187500</v>
      </c>
      <c r="H6" s="3">
        <v>250000</v>
      </c>
      <c r="I6" s="18">
        <v>191.25</v>
      </c>
      <c r="J6" s="18">
        <v>1500</v>
      </c>
      <c r="K6" s="18">
        <v>750</v>
      </c>
      <c r="L6" s="17" t="e">
        <f>D6+F6+G6+#REF!+I6+(J6+K6/12*3)*1.22</f>
        <v>#REF!</v>
      </c>
      <c r="M6" s="20" t="s">
        <v>10</v>
      </c>
    </row>
    <row r="7" spans="2:13" ht="15.75" thickBot="1" x14ac:dyDescent="0.3">
      <c r="B7" s="1"/>
      <c r="C7" s="7" t="s">
        <v>2</v>
      </c>
      <c r="D7" s="8">
        <f t="shared" ref="D7:H7" si="0">SUM(D4:D6)</f>
        <v>10000</v>
      </c>
      <c r="E7" s="9">
        <f t="shared" si="0"/>
        <v>1</v>
      </c>
      <c r="F7" s="10">
        <f t="shared" si="0"/>
        <v>500000</v>
      </c>
      <c r="G7" s="10">
        <f t="shared" si="0"/>
        <v>1500000</v>
      </c>
      <c r="H7" s="10">
        <f t="shared" si="0"/>
        <v>2000000</v>
      </c>
      <c r="I7" s="6"/>
      <c r="J7" s="1"/>
      <c r="K7" s="1"/>
    </row>
    <row r="8" spans="2:13" x14ac:dyDescent="0.25">
      <c r="B8" s="1"/>
      <c r="C8" s="1"/>
      <c r="D8" s="1"/>
      <c r="E8" s="1"/>
      <c r="F8" s="1"/>
      <c r="G8" s="1"/>
      <c r="H8" s="1"/>
      <c r="I8" s="1"/>
      <c r="J8" s="1"/>
      <c r="K8" s="1"/>
    </row>
    <row r="9" spans="2:13" x14ac:dyDescent="0.25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3" x14ac:dyDescent="0.25">
      <c r="B10" s="1"/>
      <c r="C10" s="2"/>
      <c r="D10" s="3"/>
      <c r="E10" s="3"/>
      <c r="F10" s="3"/>
      <c r="G10" s="2"/>
      <c r="H10" s="2"/>
      <c r="I10" s="2"/>
      <c r="J10" s="2"/>
      <c r="K10" s="2"/>
      <c r="L10" s="3"/>
    </row>
    <row r="11" spans="2:13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3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3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3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Girerdi</dc:creator>
  <cp:lastModifiedBy>Omar Poles</cp:lastModifiedBy>
  <dcterms:created xsi:type="dcterms:W3CDTF">2026-09-29T06:02:04Z</dcterms:created>
  <dcterms:modified xsi:type="dcterms:W3CDTF">2026-10-12T06:54:45Z</dcterms:modified>
</cp:coreProperties>
</file>